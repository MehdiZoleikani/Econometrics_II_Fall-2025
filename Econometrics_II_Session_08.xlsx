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hdi\OneDrive\Desktop\Econometrics\Econometrics II\"/>
    </mc:Choice>
  </mc:AlternateContent>
  <xr:revisionPtr revIDLastSave="0" documentId="13_ncr:1_{C5961B53-5D8C-4957-858D-9B9CBF7181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3" r:id="rId1"/>
    <sheet name="Exercise" sheetId="5" r:id="rId2"/>
    <sheet name="White Board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M3" i="4"/>
  <c r="L4" i="4"/>
  <c r="L5" i="4"/>
  <c r="L6" i="4"/>
  <c r="L7" i="4"/>
  <c r="L3" i="4"/>
  <c r="K4" i="4"/>
  <c r="K5" i="4"/>
  <c r="K6" i="4"/>
  <c r="K7" i="4"/>
  <c r="K3" i="4"/>
  <c r="J3" i="4"/>
  <c r="I3" i="4"/>
  <c r="H3" i="4"/>
  <c r="G4" i="4"/>
  <c r="G5" i="4"/>
  <c r="G6" i="4"/>
  <c r="G7" i="4"/>
  <c r="G3" i="4"/>
  <c r="F4" i="4"/>
  <c r="F5" i="4"/>
  <c r="F6" i="4"/>
  <c r="F7" i="4"/>
  <c r="F3" i="4"/>
  <c r="D3" i="4"/>
  <c r="E3" i="4"/>
</calcChain>
</file>

<file path=xl/sharedStrings.xml><?xml version="1.0" encoding="utf-8"?>
<sst xmlns="http://schemas.openxmlformats.org/spreadsheetml/2006/main" count="17" uniqueCount="13">
  <si>
    <t>TSS</t>
  </si>
  <si>
    <t>Alpha</t>
  </si>
  <si>
    <t>(Y_i - Y_hat)^2</t>
  </si>
  <si>
    <t>R^2</t>
  </si>
  <si>
    <t>Beta</t>
  </si>
  <si>
    <t>X</t>
  </si>
  <si>
    <t>Y</t>
  </si>
  <si>
    <t>RSS</t>
  </si>
  <si>
    <t>(y_i - y_bar)^2</t>
  </si>
  <si>
    <t>X_bar</t>
  </si>
  <si>
    <t>Y_bar</t>
  </si>
  <si>
    <t>(y_i - y_bar)</t>
  </si>
  <si>
    <t>Y_hat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</si>
</sst>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7548-EB23-46D6-B51E-7AF4D9A5E69E}">
  <dimension ref="A1:C52"/>
  <sheetViews>
    <sheetView zoomScale="190" zoomScaleNormal="190" workbookViewId="0">
      <pane ySplit="1" topLeftCell="A2" activePane="bottomLeft" state="frozen"/>
      <selection pane="bottomLeft" activeCell="B1" sqref="A1:B6"/>
    </sheetView>
  </sheetViews>
  <sheetFormatPr defaultRowHeight="14.4" x14ac:dyDescent="0.3"/>
  <cols>
    <col min="1" max="1" width="3.21875" style="1" customWidth="1"/>
    <col min="2" max="2" width="4.77734375" customWidth="1"/>
    <col min="3" max="16384" width="8.88671875" style="1"/>
  </cols>
  <sheetData>
    <row r="1" spans="1:3" ht="15" customHeight="1" x14ac:dyDescent="0.3">
      <c r="A1" s="7" t="s">
        <v>5</v>
      </c>
      <c r="B1" s="8" t="s">
        <v>6</v>
      </c>
    </row>
    <row r="2" spans="1:3" x14ac:dyDescent="0.3">
      <c r="A2" s="9">
        <v>10</v>
      </c>
      <c r="B2" s="10">
        <v>23</v>
      </c>
    </row>
    <row r="3" spans="1:3" x14ac:dyDescent="0.3">
      <c r="A3" s="9">
        <v>20</v>
      </c>
      <c r="B3" s="10">
        <v>41</v>
      </c>
    </row>
    <row r="4" spans="1:3" x14ac:dyDescent="0.3">
      <c r="A4" s="9">
        <v>32</v>
      </c>
      <c r="B4" s="10">
        <v>64</v>
      </c>
    </row>
    <row r="5" spans="1:3" x14ac:dyDescent="0.3">
      <c r="A5" s="9">
        <v>48</v>
      </c>
      <c r="B5" s="10">
        <v>90</v>
      </c>
    </row>
    <row r="6" spans="1:3" ht="15" thickBot="1" x14ac:dyDescent="0.35">
      <c r="A6" s="12">
        <v>60</v>
      </c>
      <c r="B6" s="11">
        <v>112</v>
      </c>
    </row>
    <row r="7" spans="1:3" x14ac:dyDescent="0.3">
      <c r="B7" s="1"/>
    </row>
    <row r="8" spans="1:3" x14ac:dyDescent="0.3">
      <c r="B8" s="2"/>
      <c r="C8" s="2"/>
    </row>
    <row r="9" spans="1:3" x14ac:dyDescent="0.3">
      <c r="B9" s="2"/>
      <c r="C9" s="2"/>
    </row>
    <row r="10" spans="1:3" x14ac:dyDescent="0.3">
      <c r="B10" s="2"/>
      <c r="C10" s="2"/>
    </row>
    <row r="11" spans="1:3" x14ac:dyDescent="0.3">
      <c r="B11" s="2"/>
      <c r="C11" s="2"/>
    </row>
    <row r="12" spans="1:3" x14ac:dyDescent="0.3">
      <c r="B12" s="2"/>
      <c r="C12" s="2"/>
    </row>
    <row r="13" spans="1:3" x14ac:dyDescent="0.3">
      <c r="B13" s="2"/>
      <c r="C13" s="2"/>
    </row>
    <row r="14" spans="1:3" x14ac:dyDescent="0.3">
      <c r="B14" s="2"/>
      <c r="C14" s="2"/>
    </row>
    <row r="15" spans="1:3" x14ac:dyDescent="0.3">
      <c r="B15" s="2"/>
      <c r="C15" s="2"/>
    </row>
    <row r="16" spans="1:3" x14ac:dyDescent="0.3">
      <c r="B16" s="2"/>
      <c r="C16" s="2"/>
    </row>
    <row r="17" spans="2:3" x14ac:dyDescent="0.3">
      <c r="B17" s="2"/>
      <c r="C17" s="2"/>
    </row>
    <row r="18" spans="2:3" x14ac:dyDescent="0.3">
      <c r="B18" s="2"/>
      <c r="C18" s="2"/>
    </row>
    <row r="19" spans="2:3" x14ac:dyDescent="0.3">
      <c r="B19" s="2"/>
      <c r="C19" s="2"/>
    </row>
    <row r="20" spans="2:3" x14ac:dyDescent="0.3">
      <c r="B20" s="2"/>
      <c r="C20" s="2"/>
    </row>
    <row r="21" spans="2:3" x14ac:dyDescent="0.3">
      <c r="B21" s="2"/>
      <c r="C21" s="2"/>
    </row>
    <row r="22" spans="2:3" x14ac:dyDescent="0.3">
      <c r="B22" s="2"/>
      <c r="C22" s="2"/>
    </row>
    <row r="23" spans="2:3" x14ac:dyDescent="0.3">
      <c r="B23" s="2"/>
      <c r="C23" s="2"/>
    </row>
    <row r="24" spans="2:3" x14ac:dyDescent="0.3">
      <c r="B24" s="2"/>
      <c r="C24" s="2"/>
    </row>
    <row r="25" spans="2:3" x14ac:dyDescent="0.3">
      <c r="B25" s="2"/>
      <c r="C25" s="2"/>
    </row>
    <row r="26" spans="2:3" x14ac:dyDescent="0.3">
      <c r="B26" s="2"/>
      <c r="C26" s="2"/>
    </row>
    <row r="27" spans="2:3" x14ac:dyDescent="0.3">
      <c r="B27" s="2"/>
      <c r="C27" s="2"/>
    </row>
    <row r="28" spans="2:3" x14ac:dyDescent="0.3">
      <c r="B28" s="2"/>
      <c r="C28" s="2"/>
    </row>
    <row r="29" spans="2:3" x14ac:dyDescent="0.3">
      <c r="B29" s="2"/>
      <c r="C29" s="2"/>
    </row>
    <row r="30" spans="2:3" x14ac:dyDescent="0.3">
      <c r="B30" s="2"/>
      <c r="C30" s="2"/>
    </row>
    <row r="31" spans="2:3" x14ac:dyDescent="0.3">
      <c r="B31" s="2"/>
      <c r="C31" s="2"/>
    </row>
    <row r="32" spans="2:3" x14ac:dyDescent="0.3">
      <c r="B32" s="2"/>
      <c r="C32" s="2"/>
    </row>
    <row r="33" spans="2:3" x14ac:dyDescent="0.3">
      <c r="B33" s="2"/>
      <c r="C33" s="2"/>
    </row>
    <row r="34" spans="2:3" x14ac:dyDescent="0.3">
      <c r="B34" s="2"/>
      <c r="C34" s="2"/>
    </row>
    <row r="35" spans="2:3" x14ac:dyDescent="0.3">
      <c r="B35" s="2"/>
      <c r="C35" s="2"/>
    </row>
    <row r="36" spans="2:3" x14ac:dyDescent="0.3">
      <c r="B36" s="2"/>
      <c r="C36" s="2"/>
    </row>
    <row r="37" spans="2:3" x14ac:dyDescent="0.3">
      <c r="B37" s="2"/>
      <c r="C37" s="2"/>
    </row>
    <row r="38" spans="2:3" x14ac:dyDescent="0.3">
      <c r="B38" s="2"/>
      <c r="C38" s="2"/>
    </row>
    <row r="39" spans="2:3" x14ac:dyDescent="0.3">
      <c r="B39" s="2"/>
      <c r="C39" s="2"/>
    </row>
    <row r="40" spans="2:3" x14ac:dyDescent="0.3">
      <c r="B40" s="2"/>
      <c r="C40" s="2"/>
    </row>
    <row r="41" spans="2:3" x14ac:dyDescent="0.3">
      <c r="B41" s="2"/>
      <c r="C41" s="2"/>
    </row>
    <row r="42" spans="2:3" x14ac:dyDescent="0.3">
      <c r="B42" s="2"/>
      <c r="C42" s="2"/>
    </row>
    <row r="43" spans="2:3" x14ac:dyDescent="0.3">
      <c r="B43" s="2"/>
      <c r="C43" s="2"/>
    </row>
    <row r="44" spans="2:3" x14ac:dyDescent="0.3">
      <c r="B44" s="2"/>
      <c r="C44" s="2"/>
    </row>
    <row r="45" spans="2:3" x14ac:dyDescent="0.3">
      <c r="B45" s="2"/>
      <c r="C45" s="2"/>
    </row>
    <row r="46" spans="2:3" x14ac:dyDescent="0.3">
      <c r="B46" s="2"/>
      <c r="C46" s="2"/>
    </row>
    <row r="47" spans="2:3" x14ac:dyDescent="0.3">
      <c r="B47" s="2"/>
      <c r="C47" s="2"/>
    </row>
    <row r="48" spans="2:3" x14ac:dyDescent="0.3">
      <c r="B48" s="2"/>
      <c r="C48" s="2"/>
    </row>
    <row r="49" spans="2:3" x14ac:dyDescent="0.3">
      <c r="B49" s="2"/>
      <c r="C49" s="2"/>
    </row>
    <row r="50" spans="2:3" x14ac:dyDescent="0.3">
      <c r="B50" s="2"/>
      <c r="C50" s="2"/>
    </row>
    <row r="51" spans="2:3" x14ac:dyDescent="0.3">
      <c r="B51" s="2"/>
      <c r="C51" s="2"/>
    </row>
    <row r="52" spans="2:3" x14ac:dyDescent="0.3">
      <c r="B52" s="2"/>
      <c r="C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EDCA-7F83-44F0-8105-95165A23FBAB}">
  <dimension ref="A1:B51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s="14" t="s">
        <v>5</v>
      </c>
      <c r="B1" s="13" t="s">
        <v>6</v>
      </c>
    </row>
    <row r="2" spans="1:2" x14ac:dyDescent="0.3">
      <c r="A2" s="2">
        <v>10.5</v>
      </c>
      <c r="B2" s="2">
        <v>21.2</v>
      </c>
    </row>
    <row r="3" spans="1:2" x14ac:dyDescent="0.3">
      <c r="A3" s="2">
        <v>11.2</v>
      </c>
      <c r="B3" s="2">
        <v>22.4</v>
      </c>
    </row>
    <row r="4" spans="1:2" x14ac:dyDescent="0.3">
      <c r="A4" s="2">
        <v>11.8</v>
      </c>
      <c r="B4" s="2">
        <v>23</v>
      </c>
    </row>
    <row r="5" spans="1:2" x14ac:dyDescent="0.3">
      <c r="A5" s="2">
        <v>12.4</v>
      </c>
      <c r="B5" s="2">
        <v>24.1</v>
      </c>
    </row>
    <row r="6" spans="1:2" x14ac:dyDescent="0.3">
      <c r="A6" s="2">
        <v>13</v>
      </c>
      <c r="B6" s="2">
        <v>24.7</v>
      </c>
    </row>
    <row r="7" spans="1:2" x14ac:dyDescent="0.3">
      <c r="A7" s="2">
        <v>13.6</v>
      </c>
      <c r="B7" s="2">
        <v>25.3</v>
      </c>
    </row>
    <row r="8" spans="1:2" x14ac:dyDescent="0.3">
      <c r="A8" s="2">
        <v>14.2</v>
      </c>
      <c r="B8" s="2">
        <v>26</v>
      </c>
    </row>
    <row r="9" spans="1:2" x14ac:dyDescent="0.3">
      <c r="A9" s="2">
        <v>14.8</v>
      </c>
      <c r="B9" s="2">
        <v>26.6</v>
      </c>
    </row>
    <row r="10" spans="1:2" x14ac:dyDescent="0.3">
      <c r="A10" s="2">
        <v>15.4</v>
      </c>
      <c r="B10" s="2">
        <v>27.4</v>
      </c>
    </row>
    <row r="11" spans="1:2" x14ac:dyDescent="0.3">
      <c r="A11" s="2">
        <v>16</v>
      </c>
      <c r="B11" s="2">
        <v>28.1</v>
      </c>
    </row>
    <row r="12" spans="1:2" x14ac:dyDescent="0.3">
      <c r="A12" s="2">
        <v>16.600000000000001</v>
      </c>
      <c r="B12" s="2">
        <v>28.8</v>
      </c>
    </row>
    <row r="13" spans="1:2" x14ac:dyDescent="0.3">
      <c r="A13" s="2">
        <v>17.2</v>
      </c>
      <c r="B13" s="2">
        <v>29.5</v>
      </c>
    </row>
    <row r="14" spans="1:2" x14ac:dyDescent="0.3">
      <c r="A14" s="2">
        <v>17.8</v>
      </c>
      <c r="B14" s="2">
        <v>30.2</v>
      </c>
    </row>
    <row r="15" spans="1:2" x14ac:dyDescent="0.3">
      <c r="A15" s="2">
        <v>18.399999999999999</v>
      </c>
      <c r="B15" s="2">
        <v>30.8</v>
      </c>
    </row>
    <row r="16" spans="1:2" x14ac:dyDescent="0.3">
      <c r="A16" s="2">
        <v>19</v>
      </c>
      <c r="B16" s="2">
        <v>31.6</v>
      </c>
    </row>
    <row r="17" spans="1:2" x14ac:dyDescent="0.3">
      <c r="A17" s="2">
        <v>19.600000000000001</v>
      </c>
      <c r="B17" s="2">
        <v>32.200000000000003</v>
      </c>
    </row>
    <row r="18" spans="1:2" x14ac:dyDescent="0.3">
      <c r="A18" s="2">
        <v>20.2</v>
      </c>
      <c r="B18" s="2">
        <v>32.9</v>
      </c>
    </row>
    <row r="19" spans="1:2" x14ac:dyDescent="0.3">
      <c r="A19" s="2">
        <v>20.8</v>
      </c>
      <c r="B19" s="2">
        <v>33.6</v>
      </c>
    </row>
    <row r="20" spans="1:2" x14ac:dyDescent="0.3">
      <c r="A20" s="2">
        <v>21.4</v>
      </c>
      <c r="B20" s="2">
        <v>34.299999999999997</v>
      </c>
    </row>
    <row r="21" spans="1:2" x14ac:dyDescent="0.3">
      <c r="A21" s="2">
        <v>22</v>
      </c>
      <c r="B21" s="2">
        <v>35</v>
      </c>
    </row>
    <row r="22" spans="1:2" x14ac:dyDescent="0.3">
      <c r="A22" s="2">
        <v>22.6</v>
      </c>
      <c r="B22" s="2">
        <v>35.700000000000003</v>
      </c>
    </row>
    <row r="23" spans="1:2" x14ac:dyDescent="0.3">
      <c r="A23" s="2">
        <v>23.2</v>
      </c>
      <c r="B23" s="2">
        <v>36.4</v>
      </c>
    </row>
    <row r="24" spans="1:2" x14ac:dyDescent="0.3">
      <c r="A24" s="2">
        <v>23.8</v>
      </c>
      <c r="B24" s="2">
        <v>37.1</v>
      </c>
    </row>
    <row r="25" spans="1:2" x14ac:dyDescent="0.3">
      <c r="A25" s="2">
        <v>24.4</v>
      </c>
      <c r="B25" s="2">
        <v>37.799999999999997</v>
      </c>
    </row>
    <row r="26" spans="1:2" x14ac:dyDescent="0.3">
      <c r="A26" s="2">
        <v>25</v>
      </c>
      <c r="B26" s="2">
        <v>38.5</v>
      </c>
    </row>
    <row r="27" spans="1:2" x14ac:dyDescent="0.3">
      <c r="A27" s="2">
        <v>25.6</v>
      </c>
      <c r="B27" s="2">
        <v>39.200000000000003</v>
      </c>
    </row>
    <row r="28" spans="1:2" x14ac:dyDescent="0.3">
      <c r="A28" s="2">
        <v>26.2</v>
      </c>
      <c r="B28" s="2">
        <v>39.9</v>
      </c>
    </row>
    <row r="29" spans="1:2" x14ac:dyDescent="0.3">
      <c r="A29" s="2">
        <v>26.8</v>
      </c>
      <c r="B29" s="2">
        <v>40.6</v>
      </c>
    </row>
    <row r="30" spans="1:2" x14ac:dyDescent="0.3">
      <c r="A30" s="2">
        <v>27.4</v>
      </c>
      <c r="B30" s="2">
        <v>41.3</v>
      </c>
    </row>
    <row r="31" spans="1:2" x14ac:dyDescent="0.3">
      <c r="A31" s="2">
        <v>28</v>
      </c>
      <c r="B31" s="2">
        <v>42</v>
      </c>
    </row>
    <row r="32" spans="1:2" x14ac:dyDescent="0.3">
      <c r="A32" s="2">
        <v>28.6</v>
      </c>
      <c r="B32" s="2">
        <v>42.7</v>
      </c>
    </row>
    <row r="33" spans="1:2" x14ac:dyDescent="0.3">
      <c r="A33" s="2">
        <v>29.2</v>
      </c>
      <c r="B33" s="2">
        <v>43.4</v>
      </c>
    </row>
    <row r="34" spans="1:2" x14ac:dyDescent="0.3">
      <c r="A34" s="2">
        <v>29.8</v>
      </c>
      <c r="B34" s="2">
        <v>44.1</v>
      </c>
    </row>
    <row r="35" spans="1:2" x14ac:dyDescent="0.3">
      <c r="A35" s="2">
        <v>30.4</v>
      </c>
      <c r="B35" s="2">
        <v>44.8</v>
      </c>
    </row>
    <row r="36" spans="1:2" x14ac:dyDescent="0.3">
      <c r="A36" s="2">
        <v>31</v>
      </c>
      <c r="B36" s="2">
        <v>45.5</v>
      </c>
    </row>
    <row r="37" spans="1:2" x14ac:dyDescent="0.3">
      <c r="A37" s="2">
        <v>31.6</v>
      </c>
      <c r="B37" s="2">
        <v>46.2</v>
      </c>
    </row>
    <row r="38" spans="1:2" x14ac:dyDescent="0.3">
      <c r="A38" s="2">
        <v>32.200000000000003</v>
      </c>
      <c r="B38" s="2">
        <v>46.9</v>
      </c>
    </row>
    <row r="39" spans="1:2" x14ac:dyDescent="0.3">
      <c r="A39" s="2">
        <v>32.799999999999997</v>
      </c>
      <c r="B39" s="2">
        <v>47.6</v>
      </c>
    </row>
    <row r="40" spans="1:2" x14ac:dyDescent="0.3">
      <c r="A40" s="2">
        <v>33.4</v>
      </c>
      <c r="B40" s="2">
        <v>48.3</v>
      </c>
    </row>
    <row r="41" spans="1:2" x14ac:dyDescent="0.3">
      <c r="A41" s="2">
        <v>34</v>
      </c>
      <c r="B41" s="2">
        <v>49</v>
      </c>
    </row>
    <row r="42" spans="1:2" x14ac:dyDescent="0.3">
      <c r="A42" s="2">
        <v>34.6</v>
      </c>
      <c r="B42" s="2">
        <v>49.7</v>
      </c>
    </row>
    <row r="43" spans="1:2" x14ac:dyDescent="0.3">
      <c r="A43" s="2">
        <v>35.200000000000003</v>
      </c>
      <c r="B43" s="2">
        <v>50.4</v>
      </c>
    </row>
    <row r="44" spans="1:2" x14ac:dyDescent="0.3">
      <c r="A44" s="2">
        <v>35.799999999999997</v>
      </c>
      <c r="B44" s="2">
        <v>51.1</v>
      </c>
    </row>
    <row r="45" spans="1:2" x14ac:dyDescent="0.3">
      <c r="A45" s="2">
        <v>36.4</v>
      </c>
      <c r="B45" s="2">
        <v>51.8</v>
      </c>
    </row>
    <row r="46" spans="1:2" x14ac:dyDescent="0.3">
      <c r="A46" s="2">
        <v>37</v>
      </c>
      <c r="B46" s="2">
        <v>52.5</v>
      </c>
    </row>
    <row r="47" spans="1:2" x14ac:dyDescent="0.3">
      <c r="A47" s="2">
        <v>37.6</v>
      </c>
      <c r="B47" s="2">
        <v>53.2</v>
      </c>
    </row>
    <row r="48" spans="1:2" x14ac:dyDescent="0.3">
      <c r="A48" s="2">
        <v>38.200000000000003</v>
      </c>
      <c r="B48" s="2">
        <v>53.9</v>
      </c>
    </row>
    <row r="49" spans="1:2" x14ac:dyDescent="0.3">
      <c r="A49" s="2">
        <v>38.799999999999997</v>
      </c>
      <c r="B49" s="2">
        <v>54.6</v>
      </c>
    </row>
    <row r="50" spans="1:2" x14ac:dyDescent="0.3">
      <c r="A50" s="2">
        <v>39.4</v>
      </c>
      <c r="B50" s="2">
        <v>55.3</v>
      </c>
    </row>
    <row r="51" spans="1:2" x14ac:dyDescent="0.3">
      <c r="A51" s="2">
        <v>40</v>
      </c>
      <c r="B51" s="2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949F-9C6E-4B02-BE43-4BCB57F26741}">
  <dimension ref="B2:N7"/>
  <sheetViews>
    <sheetView workbookViewId="0">
      <selection activeCell="B2" sqref="B2:C7"/>
    </sheetView>
  </sheetViews>
  <sheetFormatPr defaultRowHeight="14.4" x14ac:dyDescent="0.3"/>
  <cols>
    <col min="1" max="1" width="2.44140625" style="1" customWidth="1"/>
    <col min="2" max="3" width="5.5546875" style="1" bestFit="1" customWidth="1"/>
    <col min="4" max="4" width="5.6640625" style="1" bestFit="1" customWidth="1"/>
    <col min="5" max="5" width="6" style="1" bestFit="1" customWidth="1"/>
    <col min="6" max="6" width="10.5546875" style="1" bestFit="1" customWidth="1"/>
    <col min="7" max="7" width="12.5546875" style="1" bestFit="1" customWidth="1"/>
    <col min="8" max="8" width="6" style="1" bestFit="1" customWidth="1"/>
    <col min="9" max="10" width="5.5546875" style="1" bestFit="1" customWidth="1"/>
    <col min="11" max="11" width="7.5546875" style="1" bestFit="1" customWidth="1"/>
    <col min="12" max="12" width="12.77734375" style="1" bestFit="1" customWidth="1"/>
    <col min="13" max="13" width="7.5546875" style="1" bestFit="1" customWidth="1"/>
    <col min="14" max="14" width="6.5546875" style="1" bestFit="1" customWidth="1"/>
    <col min="15" max="16384" width="8.88671875" style="1"/>
  </cols>
  <sheetData>
    <row r="2" spans="2:14" x14ac:dyDescent="0.3">
      <c r="B2" s="1" t="s">
        <v>5</v>
      </c>
      <c r="C2" s="1" t="s">
        <v>6</v>
      </c>
      <c r="D2" s="1" t="s">
        <v>9</v>
      </c>
      <c r="E2" s="1" t="s">
        <v>10</v>
      </c>
      <c r="F2" s="1" t="s">
        <v>11</v>
      </c>
      <c r="G2" s="1" t="s">
        <v>8</v>
      </c>
      <c r="H2" s="1" t="s">
        <v>0</v>
      </c>
      <c r="I2" s="1" t="s">
        <v>4</v>
      </c>
      <c r="J2" s="1" t="s">
        <v>1</v>
      </c>
      <c r="K2" s="1" t="s">
        <v>12</v>
      </c>
      <c r="L2" s="1" t="s">
        <v>2</v>
      </c>
      <c r="M2" s="1" t="s">
        <v>7</v>
      </c>
      <c r="N2" s="1" t="s">
        <v>3</v>
      </c>
    </row>
    <row r="3" spans="2:14" x14ac:dyDescent="0.3">
      <c r="B3" s="2">
        <v>10</v>
      </c>
      <c r="C3" s="2">
        <v>23</v>
      </c>
      <c r="D3" s="5">
        <f>AVERAGE(B3:B7)</f>
        <v>34</v>
      </c>
      <c r="E3" s="1">
        <f>AVERAGE(C3:C7)</f>
        <v>66</v>
      </c>
      <c r="F3" s="1">
        <f>(C3-E3)</f>
        <v>-43</v>
      </c>
      <c r="G3" s="1">
        <f>F3^2</f>
        <v>1849</v>
      </c>
      <c r="H3" s="6">
        <f>SUM(G3:G7)</f>
        <v>28270</v>
      </c>
      <c r="I3" s="4">
        <f>_xlfn.COVARIANCE.S(B3:B7,C3:C7)/_xlfn.VAR.S(B3:B7)</f>
        <v>1.770631067961165</v>
      </c>
      <c r="J3" s="4">
        <f>E3-I3*D3</f>
        <v>5.7985436893203897</v>
      </c>
      <c r="K3" s="4">
        <f>$J$3+$I$3*B3</f>
        <v>23.50485436893204</v>
      </c>
      <c r="L3" s="4">
        <f>(C3-K3)^2</f>
        <v>0.25487793382976875</v>
      </c>
      <c r="M3" s="3">
        <f>SUM(L3:L7)</f>
        <v>3.2985436893203683</v>
      </c>
      <c r="N3" s="3">
        <f>1-(M3/H3)</f>
        <v>0.99988331999684044</v>
      </c>
    </row>
    <row r="4" spans="2:14" x14ac:dyDescent="0.3">
      <c r="B4" s="2">
        <v>20</v>
      </c>
      <c r="C4" s="2">
        <v>41</v>
      </c>
      <c r="D4" s="2"/>
      <c r="F4" s="1">
        <f t="shared" ref="F4:F7" si="0">(C4-E4)</f>
        <v>41</v>
      </c>
      <c r="G4" s="1">
        <f t="shared" ref="G4:G7" si="1">F4^2</f>
        <v>1681</v>
      </c>
      <c r="K4" s="4">
        <f t="shared" ref="K4:K7" si="2">$J$3+$I$3*B4</f>
        <v>41.211165048543691</v>
      </c>
      <c r="L4" s="4">
        <f t="shared" ref="L4:L7" si="3">(C4-K4)^2</f>
        <v>4.4590677726459423E-2</v>
      </c>
    </row>
    <row r="5" spans="2:14" x14ac:dyDescent="0.3">
      <c r="B5" s="2">
        <v>32</v>
      </c>
      <c r="C5" s="2">
        <v>64</v>
      </c>
      <c r="D5" s="2"/>
      <c r="F5" s="1">
        <f t="shared" si="0"/>
        <v>64</v>
      </c>
      <c r="G5" s="1">
        <f t="shared" si="1"/>
        <v>4096</v>
      </c>
      <c r="K5" s="4">
        <f t="shared" si="2"/>
        <v>62.458737864077669</v>
      </c>
      <c r="L5" s="4">
        <f t="shared" si="3"/>
        <v>2.3754889716278655</v>
      </c>
    </row>
    <row r="6" spans="2:14" x14ac:dyDescent="0.3">
      <c r="B6" s="2">
        <v>48</v>
      </c>
      <c r="C6" s="2">
        <v>90</v>
      </c>
      <c r="D6" s="2"/>
      <c r="F6" s="1">
        <f t="shared" si="0"/>
        <v>90</v>
      </c>
      <c r="G6" s="1">
        <f t="shared" si="1"/>
        <v>8100</v>
      </c>
      <c r="K6" s="4">
        <f t="shared" si="2"/>
        <v>90.788834951456295</v>
      </c>
      <c r="L6" s="4">
        <f t="shared" si="3"/>
        <v>0.62226058063905476</v>
      </c>
    </row>
    <row r="7" spans="2:14" x14ac:dyDescent="0.3">
      <c r="B7" s="2">
        <v>60</v>
      </c>
      <c r="C7" s="2">
        <v>112</v>
      </c>
      <c r="D7" s="2"/>
      <c r="F7" s="1">
        <f t="shared" si="0"/>
        <v>112</v>
      </c>
      <c r="G7" s="1">
        <f t="shared" si="1"/>
        <v>12544</v>
      </c>
      <c r="K7" s="4">
        <f t="shared" si="2"/>
        <v>112.03640776699029</v>
      </c>
      <c r="L7" s="4">
        <f t="shared" si="3"/>
        <v>1.325525497219543E-3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Exercise</vt:lpstr>
      <vt:lpstr>White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Zoleikani</dc:creator>
  <cp:lastModifiedBy>Mehdi Zoleikani</cp:lastModifiedBy>
  <dcterms:created xsi:type="dcterms:W3CDTF">2015-06-05T18:17:20Z</dcterms:created>
  <dcterms:modified xsi:type="dcterms:W3CDTF">2025-12-12T13:24:26Z</dcterms:modified>
</cp:coreProperties>
</file>